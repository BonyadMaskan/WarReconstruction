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662EBC-C938-4E80-A57D-6AEF538934E2}" xr6:coauthVersionLast="47" xr6:coauthVersionMax="47" xr10:uidLastSave="{00000000-0000-0000-0000-000000000000}"/>
  <bookViews>
    <workbookView xWindow="-120" yWindow="-120" windowWidth="20730" windowHeight="11040" activeTab="1" xr2:uid="{03B1A1FA-9EE2-41B9-8E40-525D53F0FEDF}"/>
  </bookViews>
  <sheets>
    <sheet name="ارزیابی" sheetId="1" r:id="rId1"/>
    <sheet name="عملکرد" sheetId="4" r:id="rId2"/>
    <sheet name="پروانه ساختمانی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K3" i="1" l="1"/>
  <c r="J2" i="4" l="1"/>
  <c r="J3" i="4" l="1"/>
  <c r="J6" i="1" l="1"/>
  <c r="L3" i="1"/>
  <c r="K4" i="1"/>
  <c r="L4" i="1" l="1"/>
  <c r="J4" i="4"/>
  <c r="K5" i="1" l="1"/>
  <c r="L5" i="1" s="1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K6" i="1"/>
  <c r="L6" i="1" s="1"/>
</calcChain>
</file>

<file path=xl/sharedStrings.xml><?xml version="1.0" encoding="utf-8"?>
<sst xmlns="http://schemas.openxmlformats.org/spreadsheetml/2006/main" count="89" uniqueCount="55">
  <si>
    <t>تعداد استان های آسیب دیده</t>
  </si>
  <si>
    <t>تعداد شهرهای آسیب دیده</t>
  </si>
  <si>
    <t>تعداد روستا های آسیب دیده</t>
  </si>
  <si>
    <t>تعمیری
نوع 1</t>
  </si>
  <si>
    <t>تعمیری
نوع 2</t>
  </si>
  <si>
    <t>تعمیری
نوع 3</t>
  </si>
  <si>
    <t>احداثی</t>
  </si>
  <si>
    <t>لوازم معیشتی</t>
  </si>
  <si>
    <t xml:space="preserve">جمع واحدهای تعمیری </t>
  </si>
  <si>
    <t>تاریخ گزارش</t>
  </si>
  <si>
    <t>1405/02/14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</si>
  <si>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</si>
  <si>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</si>
  <si>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</si>
  <si>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</si>
  <si>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</si>
  <si>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</si>
  <si>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</si>
  <si>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</si>
  <si>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</si>
  <si>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</si>
  <si>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</si>
  <si>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</si>
  <si>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</si>
  <si>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r>
      <t>کل اعتبار مورد نیاز</t>
    </r>
    <r>
      <rPr>
        <b/>
        <shadow/>
        <sz val="15"/>
        <color rgb="FFFFFFFF"/>
        <rFont val="Noto Sans"/>
      </rPr>
      <t xml:space="preserve"> (</t>
    </r>
    <r>
      <rPr>
        <b/>
        <shadow/>
        <sz val="15"/>
        <color rgb="FFFFFFFF"/>
        <rFont val="B Nazanin"/>
        <charset val="178"/>
      </rPr>
      <t>همت)</t>
    </r>
  </si>
  <si>
    <t>اعتبار مورد نیاز واحدهای احداثی (همت)</t>
  </si>
  <si>
    <t>اعتبار مورد نیاز واحدهای تعمیری (همت)</t>
  </si>
  <si>
    <t>17،55</t>
  </si>
  <si>
    <t>تعداد واحدهای آواربرداری شده</t>
  </si>
  <si>
    <t>تعداد  واحدهای  تعمیر شده</t>
  </si>
  <si>
    <t>فرآیند طراحی و صدور پروانه</t>
  </si>
  <si>
    <t>تعمیرات نوع 1
(احداث)</t>
  </si>
  <si>
    <t>تعمیرات نوع 2 (جزئی)</t>
  </si>
  <si>
    <t>تعمیرات نوع 3 
(درب و پنجره)</t>
  </si>
  <si>
    <t>تعداد تسهیلات ودیعه پرداخت شده</t>
  </si>
  <si>
    <t>تعداد متقاضیان انتخاب شعبه نموده</t>
  </si>
  <si>
    <t>تعداد متقاضیان ارسالی به سامانه وزارت راه و شهرسازی</t>
  </si>
  <si>
    <t>تسهیلات پرداخت شده (میلیارد.ر)</t>
  </si>
  <si>
    <t>معرفی به نظام مهندسی</t>
  </si>
  <si>
    <t>نقشه تهیه شده</t>
  </si>
  <si>
    <t>معرفی به شهرداری</t>
  </si>
  <si>
    <t>پروانه صادر شده</t>
  </si>
  <si>
    <t>کل واحدهای ارزیابی شده
(کلان شهر + شهرها + روستاها)
تعمیری  +  احداثی  +  معیشتی</t>
  </si>
  <si>
    <t>کل واحدهای ارزیابی شده
(کلان شهرها)
تعمیری  +  احداثی  +  معیشتی</t>
  </si>
  <si>
    <t>کل واحدهای ارزیابی شده
(سایر شهرها و روستاها)
تعمیری  +  احداثی  +  معیشتی</t>
  </si>
  <si>
    <t>1405/02/31</t>
  </si>
  <si>
    <t>18،00</t>
  </si>
  <si>
    <t>1405/03/07</t>
  </si>
  <si>
    <t>1405/02/30</t>
  </si>
  <si>
    <t>1405/03/7</t>
  </si>
  <si>
    <t>1405/03/15</t>
  </si>
  <si>
    <t>1405/03/22</t>
  </si>
  <si>
    <t xml:space="preserve"> </t>
  </si>
  <si>
    <t xml:space="preserve">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</si>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</sst>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78"/>
      <scheme val="minor"/>
    </font>
    <font>
      <shadow/>
      <sz val="12"/>
      <name val="B Nazanin"/>
      <charset val="178"/>
    </font>
    <font>
      <shadow/>
      <sz val="12"/>
      <color theme="0"/>
      <name val="B Zar"/>
      <charset val="178"/>
    </font>
    <font>
      <shadow/>
      <sz val="12"/>
      <name val="B Titr"/>
      <charset val="178"/>
    </font>
    <font>
      <b/>
      <shadow/>
      <sz val="15"/>
      <color rgb="FFFFFFFF"/>
      <name val="B Nazanin"/>
      <charset val="178"/>
    </font>
    <font>
      <b/>
      <shadow/>
      <sz val="15"/>
      <color rgb="FFFFFFFF"/>
      <name val="Noto Sans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charset val="178"/>
      <scheme val="minor"/>
    </font>
    <font>
      <shadow/>
      <sz val="12"/>
      <color theme="0"/>
      <name val="B Titr"/>
      <charset val="178"/>
    </font>
    <font>
      <b/>
      <sz val="26"/>
      <color theme="1"/>
      <name val="B Traffic"/>
      <charset val="178"/>
    </font>
    <font>
      <b/>
      <sz val="12"/>
      <color theme="1"/>
      <name val="B Traffic"/>
      <charset val="17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3" fontId="10" fillId="2" borderId="11" xfId="4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3" fontId="11" fillId="2" borderId="11" xfId="4" applyNumberFormat="1" applyFont="1" applyFill="1" applyBorder="1" applyAlignment="1">
      <alignment horizontal="center" vertical="center" readingOrder="2"/>
    </xf>
    <xf numFmtId="1" fontId="3" fillId="0" borderId="1" xfId="0" applyNumberFormat="1" applyFont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</cellXfs>
  <cellStyles count="5">
    <cellStyle name="Normal" xfId="0" builtinId="0"/>
    <cellStyle name="Normal 2" xfId="2" xr:uid="{15B57D7F-1BF2-41A7-A06C-46B67EAD1A58}"/>
    <cellStyle name="Normal 2 2" xfId="3" xr:uid="{6DE72F7E-A355-46A4-A6EA-3E2289A95483}"/>
    <cellStyle name="Normal 2 3" xfId="4" xr:uid="{B2EE57E2-4436-42D9-8771-CB28ACB74B3B}"/>
    <cellStyle name="Normal 3" xfId="1" xr:uid="{F128020F-8DAB-486A-B637-526EA9AE6C6D}"/>
  </cellStyles>
  <dxfs count="84"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theme="0"/>
        <name val="B Zar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numFmt numFmtId="0" formatCode="General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theme="0"/>
        <name val="B Zar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/>
        <u val="none"/>
        <vertAlign val="baseline"/>
        <sz val="12"/>
        <color theme="0"/>
        <name val="B Zar"/>
        <charset val="178"/>
        <scheme val="none"/>
      </font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9348A6-5B7F-45D7-A38F-E34F633CE864}" name="Table5" displayName="Table5" ref="A1:Z104" totalsRowShown="0" headerRowDxfId="83" dataDxfId="81" headerRowBorderDxfId="82" tableBorderDxfId="80" totalsRowBorderDxfId="79">
  <autoFilter ref="A1:Z104" xr:uid="{F89348A6-5B7F-45D7-A38F-E34F633CE864}"/>
  <tableColumns count="26">
    <tableColumn id="1" xr3:uid="{9FF73473-CB82-4C1B-A62C-470B2AAFDE11}" name="تاریخ گزارش" dataDxfId="78"/>
    <tableColumn id="2" xr3:uid="{F8823638-1985-4E94-A8D5-7B5A263512D2}" name="تعداد استان های آسیب دیده" dataDxfId="77"/>
    <tableColumn id="3" xr3:uid="{7DE46960-A0C3-4C17-A445-EFF854C48F86}" name="تعداد شهرهای آسیب دیده" dataDxfId="76"/>
    <tableColumn id="4" xr3:uid="{78A3A681-D649-42A1-B08D-8D64BA12C7E5}" name="تعداد روستا های آسیب دیده" dataDxfId="75"/>
    <tableColumn id="5" xr3:uid="{67EE17D2-9373-4D30-B8DA-D9E24C06C912}" name="تعمیری_x000a_نوع 1" dataDxfId="74"/>
    <tableColumn id="6" xr3:uid="{847CCEBA-5A25-43C3-B791-004BE0624418}" name="تعمیری_x000a_نوع 2" dataDxfId="73"/>
    <tableColumn id="7" xr3:uid="{6AF93568-D66C-4C55-967E-8624F4F1689E}" name="تعمیری_x000a_نوع 3" dataDxfId="72"/>
    <tableColumn id="8" xr3:uid="{3275A31A-7F3A-44E3-9D57-9D8B11A207CE}" name="احداثی" dataDxfId="71"/>
    <tableColumn id="9" xr3:uid="{53CAA4CB-16A7-4C48-9F1E-001B1B6FB3EA}" name="لوازم معیشتی" dataDxfId="70"/>
    <tableColumn id="10" xr3:uid="{35A4D0C5-75E9-4934-9836-A5DBCADFC47B}" name="جمع واحدهای تعمیری " dataDxfId="69"/>
    <tableColumn id="11" xr3:uid="{15F60142-20B9-4577-82BC-F265F0B7BB82}" name="کل واحدهای ارزیابی شده_x000a_(سایر شهرها و روستاها)_x000a_تعمیری  +  احداثی  +  معیشتی" dataDxfId="68"/>
    <tableColumn id="12" xr3:uid="{3EF4523D-2D28-455A-B639-C1B7725883A6}" name="کل واحدهای ارزیابی شده_x000a_(کلان شهرها)_x000a_تعمیری  +  احداثی  +  معیشتی" dataDxfId="67"/>
    <tableColumn id="13" xr3:uid="{C13FB045-0108-4074-9EE9-D9BAD4A5302E}" name="کل واحدهای ارزیابی شده_x000a_(کلان شهر + شهرها + روستاها)_x000a_تعمیری  +  احداثی  +  معیشتی" dataDxfId="66"/>
    <tableColumn id="14" xr3:uid="{20D14386-D27C-4C46-BFE3-D2CF768617DC}" name="Column1" dataDxfId="65"/>
    <tableColumn id="15" xr3:uid="{4EE0F60A-DE8D-4B36-8596-3203F9A947C3}" name="Column2" dataDxfId="64"/>
    <tableColumn id="16" xr3:uid="{15914F16-2D9D-4E2C-98C7-B1BE56D5BAF3}" name="Column3" dataDxfId="63"/>
    <tableColumn id="17" xr3:uid="{90860B4C-6E98-4026-A3B4-667378B7C7D2}" name="Column4" dataDxfId="62"/>
    <tableColumn id="18" xr3:uid="{EC77946B-74BE-46DA-B5B8-50D2D7465339}" name="Column5" dataDxfId="61"/>
    <tableColumn id="19" xr3:uid="{26BB7516-94D3-4795-9B34-8E6D2F93426E}" name="Column6" dataDxfId="60"/>
    <tableColumn id="20" xr3:uid="{793E801E-2725-4461-8F49-7052426DE708}" name="Column7" dataDxfId="59"/>
    <tableColumn id="21" xr3:uid="{C9F3B704-90FC-40A2-9193-B28E8AD0649D}" name="Column8" dataDxfId="58"/>
    <tableColumn id="22" xr3:uid="{CD2FD7EE-3E6E-4EB1-8B9A-E10E8C0CA592}" name="Column9" dataDxfId="57"/>
    <tableColumn id="23" xr3:uid="{34D707E1-93D6-4B57-897B-A0789EE3F746}" name="Column10" dataDxfId="56"/>
    <tableColumn id="24" xr3:uid="{7CA9EF8B-10E6-4A64-A632-3907265DDFC7}" name="Column11" dataDxfId="55"/>
    <tableColumn id="25" xr3:uid="{DB4A0521-2339-4E5E-B68D-8E1969B484EB}" name="Column12" dataDxfId="54"/>
    <tableColumn id="26" xr3:uid="{CCD7A7C2-AAAC-4519-BDE6-A78F3616265D}" name="Column13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4F27D2-FF08-4B83-84A2-7BA26466AC00}" name="Table57" displayName="Table57" ref="A1:Z104" totalsRowShown="0" headerRowDxfId="52" dataDxfId="50" headerRowBorderDxfId="51" tableBorderDxfId="49" totalsRowBorderDxfId="48">
  <autoFilter ref="A1:Z104" xr:uid="{F89348A6-5B7F-45D7-A38F-E34F633CE864}"/>
  <tableColumns count="26">
    <tableColumn id="1" xr3:uid="{213D445D-AF77-4F94-BF5D-9BDC0526B56C}" name="تاریخ گزارش" dataDxfId="47"/>
    <tableColumn id="2" xr3:uid="{B49721B9-DEB0-41CB-8AC9-5FFDBA708CEC}" name="کل اعتبار مورد نیاز (همت)" dataDxfId="46"/>
    <tableColumn id="3" xr3:uid="{DE762483-36EA-489C-B7E0-A3AF95B51AD7}" name="اعتبار مورد نیاز واحدهای احداثی (همت)" dataDxfId="45"/>
    <tableColumn id="4" xr3:uid="{6113A40B-5E2D-4E19-AEEC-0B4766A4396B}" name="اعتبار مورد نیاز واحدهای تعمیری (همت)" dataDxfId="44"/>
    <tableColumn id="5" xr3:uid="{DA4D1BA1-4788-40E1-BA8C-9BFBB8055901}" name="تعداد واحدهای آواربرداری شده" dataDxfId="43"/>
    <tableColumn id="6" xr3:uid="{FD5AD4A3-D8D7-4B65-8FE1-FA57C0084AF0}" name="فرآیند طراحی و صدور پروانه" dataDxfId="42"/>
    <tableColumn id="7" xr3:uid="{F762ADB3-F2DA-49FD-A94E-9D5C60212188}" name="تعمیرات نوع 1_x000a_(احداث)" dataDxfId="41"/>
    <tableColumn id="8" xr3:uid="{7FB07664-AEF3-4ED9-8D77-961DCD1676E5}" name="تعمیرات نوع 2 (جزئی)" dataDxfId="40"/>
    <tableColumn id="9" xr3:uid="{95DF6706-E036-42F4-B2F2-82495D80568C}" name="تعمیرات نوع 3 _x000a_(درب و پنجره)" dataDxfId="39"/>
    <tableColumn id="10" xr3:uid="{B98AF9AE-0B1E-4C9A-9B45-317689A09C71}" name="تعداد  واحدهای  تعمیر شده" dataDxfId="38">
      <calculatedColumnFormula>SUM(Table57[[#This Row],[تعمیرات نوع 1
(احداث)]:[تعمیرات نوع 3 
(درب و پنجره)]])</calculatedColumnFormula>
    </tableColumn>
    <tableColumn id="11" xr3:uid="{43BC03CA-CD82-419D-B41E-685C672BD925}" name="تعداد متقاضیان ارسالی به سامانه وزارت راه و شهرسازی" dataDxfId="37"/>
    <tableColumn id="12" xr3:uid="{E6C5DBFB-AE7D-4B87-BA12-CA452A57864F}" name="تعداد متقاضیان انتخاب شعبه نموده" dataDxfId="36"/>
    <tableColumn id="13" xr3:uid="{B84AC103-DD79-4994-94C7-B4E812F7C347}" name="تعداد تسهیلات ودیعه پرداخت شده" dataDxfId="35"/>
    <tableColumn id="14" xr3:uid="{23C42A33-635B-4028-9C6B-1A7C8872F858}" name="تسهیلات پرداخت شده (میلیارد.ر)" dataDxfId="34"/>
    <tableColumn id="15" xr3:uid="{E6005D98-FB6B-4492-8EC4-B6D65437D3E3}" name="Column2" dataDxfId="33"/>
    <tableColumn id="16" xr3:uid="{B3BDD3F8-73B7-4745-AA24-351C5515A66F}" name="Column3" dataDxfId="32"/>
    <tableColumn id="17" xr3:uid="{574BA427-9CBE-49B4-B085-DFE8D5A06181}" name="Column4" dataDxfId="31"/>
    <tableColumn id="18" xr3:uid="{4D24FE97-DCA9-4296-9158-0739B1DDCD5D}" name="Column5" dataDxfId="30"/>
    <tableColumn id="19" xr3:uid="{E69ACF5A-7AD0-44B2-B6E5-5C296B4CC2E5}" name="Column6" dataDxfId="29"/>
    <tableColumn id="20" xr3:uid="{195A8311-C122-4455-B5ED-6F0CFA8B991C}" name="Column7" dataDxfId="28"/>
    <tableColumn id="21" xr3:uid="{9D2BEFCB-7B21-4411-8650-54435EB1E1EC}" name="Column8" dataDxfId="27"/>
    <tableColumn id="22" xr3:uid="{7C2E3ABC-0721-4376-A5FD-B78245E71B43}" name="Column9" dataDxfId="26"/>
    <tableColumn id="23" xr3:uid="{042D76F2-C2C8-4AA6-817D-3CD917B7E1B8}" name="Column10" dataDxfId="25"/>
    <tableColumn id="24" xr3:uid="{2817B85C-B43B-4E3B-9F5E-3C6326C421DC}" name="Column11" dataDxfId="24"/>
    <tableColumn id="25" xr3:uid="{9DE1C116-D36D-4F30-8801-852678730DA4}" name="Column12" dataDxfId="23"/>
    <tableColumn id="26" xr3:uid="{9B6F7372-CE32-4A33-B692-DD779D4DE567}" name="Column13" dataDxfId="2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2C577-1ECE-4BAA-BD04-1485D2C1C6E3}" name="Table572" displayName="Table572" ref="A1:Q104" totalsRowShown="0" headerRowDxfId="21" dataDxfId="19" headerRowBorderDxfId="20" tableBorderDxfId="18" totalsRowBorderDxfId="17">
  <autoFilter ref="A1:Q104" xr:uid="{F89348A6-5B7F-45D7-A38F-E34F633CE864}"/>
  <tableColumns count="17">
    <tableColumn id="1" xr3:uid="{3E9F243D-F150-4142-97D1-23A8AA50A2DF}" name="تاریخ گزارش" dataDxfId="16"/>
    <tableColumn id="2" xr3:uid="{54E84ECA-C0C5-46E4-8E41-B9487B5C6975}" name="معرفی به نظام مهندسی" dataDxfId="15"/>
    <tableColumn id="3" xr3:uid="{3DF4CC2B-A981-49BC-9BDC-8CC44D3D678C}" name="نقشه تهیه شده" dataDxfId="14"/>
    <tableColumn id="4" xr3:uid="{D7542720-2164-4A27-804E-A922C432763B}" name="معرفی به شهرداری" dataDxfId="13"/>
    <tableColumn id="5" xr3:uid="{7CCE135B-80EE-455F-A984-E323B7A05E8D}" name="پروانه صادر شده" dataDxfId="12"/>
    <tableColumn id="15" xr3:uid="{A93AFD3B-79EB-40E8-BD3E-3BC02A0C8EF0}" name="Column2" dataDxfId="11"/>
    <tableColumn id="16" xr3:uid="{FAF92324-B72E-4BD2-A224-22572BD4F9B6}" name="Column3" dataDxfId="10"/>
    <tableColumn id="17" xr3:uid="{9F1C66D4-E18D-4BAD-A9ED-E75C4F0A5079}" name="Column4" dataDxfId="9"/>
    <tableColumn id="18" xr3:uid="{C669960C-4952-49F6-BC4F-2663A07C9ADC}" name="Column5" dataDxfId="8"/>
    <tableColumn id="19" xr3:uid="{F063574C-5E24-44F6-94A0-4E167F25D42C}" name="Column6" dataDxfId="7"/>
    <tableColumn id="20" xr3:uid="{93C6D9F6-4064-448D-BC89-FFBCD13CC9EC}" name="Column7" dataDxfId="6"/>
    <tableColumn id="21" xr3:uid="{76359CA6-3720-4BDF-B39C-9A82F728AD68}" name="Column8" dataDxfId="5"/>
    <tableColumn id="22" xr3:uid="{A2945098-1A49-4243-8B40-B0C3DB04DA8F}" name="Column9" dataDxfId="4"/>
    <tableColumn id="23" xr3:uid="{658EDC63-FECA-49E8-A96C-4792FA512880}" name="Column10" dataDxfId="3"/>
    <tableColumn id="24" xr3:uid="{82375FDA-8487-4965-85C6-16BF5B8E7605}" name="Column11" dataDxfId="2"/>
    <tableColumn id="25" xr3:uid="{7A8DA29A-4CE9-4934-ACCE-EAADF0E5726B}" name="Column12" dataDxfId="1"/>
    <tableColumn id="26" xr3:uid="{6A8CB6DC-E661-4C8C-BE3A-DE2FC21128B1}" name="Column13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FBA9-E2C4-404C-ACF3-A7385F56201C}">
  <dimension ref="A1:Z104"/>
  <sheetViews>
    <sheetView rightToLeft="1" topLeftCell="D1" zoomScaleNormal="100" workbookViewId="0">
      <pane ySplit="1" topLeftCell="A2" activePane="bottomLeft" state="frozen"/>
      <selection pane="bottomLeft" activeCell="L3" sqref="L3"/>
    </sheetView>
  </sheetViews>
  <sheetFormatPr defaultColWidth="8.625" defaultRowHeight="18.75" x14ac:dyDescent="0.2"/>
  <cols>
    <col min="1" max="1" width="13.875" style="1" customWidth="1"/>
    <col min="2" max="2" width="18.375" style="1" customWidth="1"/>
    <col min="3" max="3" width="14.875" style="1" customWidth="1"/>
    <col min="4" max="4" width="15.25" style="1" customWidth="1"/>
    <col min="5" max="8" width="8.625" style="1"/>
    <col min="9" max="9" width="10.25" style="1" customWidth="1"/>
    <col min="10" max="10" width="15.75" style="1" customWidth="1"/>
    <col min="11" max="13" width="24.125" style="1" customWidth="1"/>
    <col min="14" max="22" width="10.375" style="1" customWidth="1"/>
    <col min="23" max="26" width="11.125" style="1" customWidth="1"/>
    <col min="27" max="16384" width="8.625" style="1"/>
  </cols>
  <sheetData>
    <row r="1" spans="1:26" s="5" customFormat="1" ht="63" x14ac:dyDescent="0.2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44</v>
      </c>
      <c r="L1" s="3" t="s">
        <v>43</v>
      </c>
      <c r="M1" s="3" t="s">
        <v>42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4" t="s">
        <v>23</v>
      </c>
    </row>
    <row r="2" spans="1:26" s="5" customFormat="1" ht="25.5" x14ac:dyDescent="0.2">
      <c r="A2" s="13" t="s">
        <v>51</v>
      </c>
      <c r="B2" s="13">
        <v>24</v>
      </c>
      <c r="C2" s="13">
        <v>215</v>
      </c>
      <c r="D2" s="13">
        <v>185</v>
      </c>
      <c r="E2" s="13">
        <v>5461</v>
      </c>
      <c r="F2" s="13">
        <v>33573</v>
      </c>
      <c r="G2" s="13">
        <v>57096</v>
      </c>
      <c r="H2" s="13">
        <v>25.49</v>
      </c>
      <c r="I2" s="13">
        <v>23490</v>
      </c>
      <c r="J2" s="13">
        <v>97402</v>
      </c>
      <c r="K2" s="25">
        <f>Table5[[#This Row],[جمع واحدهای تعمیری ]]+Table5[[#This Row],[لوازم معیشتی]]+Table5[[#This Row],[احداثی]]</f>
        <v>120917.49</v>
      </c>
      <c r="L2" s="25">
        <f>Table5[[#This Row],[کل واحدهای ارزیابی شده
(کلان شهر + شهرها + روستاها)
تعمیری  +  احداثی  +  معیشتی]]-Table5[[#This Row],[کل واحدهای ارزیابی شده
(سایر شهرها و روستاها)
تعمیری  +  احداثی  +  معیشتی]]</f>
        <v>18706.509999999995</v>
      </c>
      <c r="M2" s="13">
        <v>139624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s="17" customFormat="1" ht="25.5" x14ac:dyDescent="0.2">
      <c r="A3" s="13" t="s">
        <v>50</v>
      </c>
      <c r="B3" s="13">
        <v>24</v>
      </c>
      <c r="C3" s="13">
        <v>215</v>
      </c>
      <c r="D3" s="13">
        <v>185</v>
      </c>
      <c r="E3" s="13">
        <v>5208</v>
      </c>
      <c r="F3" s="13">
        <v>31739</v>
      </c>
      <c r="G3" s="13">
        <v>57264</v>
      </c>
      <c r="H3" s="13">
        <v>1194</v>
      </c>
      <c r="I3" s="13">
        <v>21857</v>
      </c>
      <c r="J3" s="13">
        <v>94211</v>
      </c>
      <c r="K3" s="13">
        <f>SUM(H3:J3)</f>
        <v>117262</v>
      </c>
      <c r="L3" s="13">
        <f>Table5[[#This Row],[کل واحدهای ارزیابی شده
(کلان شهر + شهرها + روستاها)
تعمیری  +  احداثی  +  معیشتی]]-Table5[[#This Row],[کل واحدهای ارزیابی شده
(سایر شهرها و روستاها)
تعمیری  +  احداثی  +  معیشتی]]</f>
        <v>18839</v>
      </c>
      <c r="M3" s="13">
        <v>136101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spans="1:26" s="5" customFormat="1" ht="25.5" x14ac:dyDescent="0.2">
      <c r="A4" s="13" t="s">
        <v>47</v>
      </c>
      <c r="B4" s="13">
        <v>24</v>
      </c>
      <c r="C4" s="13">
        <v>215</v>
      </c>
      <c r="D4" s="13">
        <v>185</v>
      </c>
      <c r="E4" s="13">
        <v>5188</v>
      </c>
      <c r="F4" s="13">
        <v>31626</v>
      </c>
      <c r="G4" s="13">
        <v>57139</v>
      </c>
      <c r="H4" s="13">
        <v>1187</v>
      </c>
      <c r="I4" s="13">
        <v>21284</v>
      </c>
      <c r="J4" s="13">
        <v>93953</v>
      </c>
      <c r="K4" s="13">
        <f>SUM(H4:J4)</f>
        <v>116424</v>
      </c>
      <c r="L4" s="13">
        <f>M4-K4</f>
        <v>18894</v>
      </c>
      <c r="M4" s="13">
        <v>135318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ht="25.5" x14ac:dyDescent="0.2">
      <c r="A5" s="13" t="s">
        <v>45</v>
      </c>
      <c r="B5" s="13">
        <v>24</v>
      </c>
      <c r="C5" s="13">
        <v>215</v>
      </c>
      <c r="D5" s="13">
        <v>185</v>
      </c>
      <c r="E5" s="13">
        <v>5543</v>
      </c>
      <c r="F5" s="13">
        <v>30550</v>
      </c>
      <c r="G5" s="13">
        <v>56094</v>
      </c>
      <c r="H5" s="13">
        <v>1167</v>
      </c>
      <c r="I5" s="13">
        <v>21354</v>
      </c>
      <c r="J5" s="13">
        <v>92187</v>
      </c>
      <c r="K5" s="13">
        <f>SUM(H5:J5)</f>
        <v>114708</v>
      </c>
      <c r="L5" s="13">
        <f>M5-K5</f>
        <v>18912</v>
      </c>
      <c r="M5" s="13">
        <v>133620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spans="1:26" s="15" customFormat="1" ht="30.6" customHeight="1" x14ac:dyDescent="0.2">
      <c r="A6" s="13" t="s">
        <v>10</v>
      </c>
      <c r="B6" s="13">
        <v>24</v>
      </c>
      <c r="C6" s="13">
        <v>222</v>
      </c>
      <c r="D6" s="13">
        <v>187</v>
      </c>
      <c r="E6" s="13">
        <v>7303</v>
      </c>
      <c r="F6" s="13">
        <v>27567</v>
      </c>
      <c r="G6" s="13">
        <v>48570</v>
      </c>
      <c r="H6" s="13">
        <v>1132</v>
      </c>
      <c r="I6" s="13">
        <v>19816</v>
      </c>
      <c r="J6" s="13">
        <f>SUM(E6:G6)</f>
        <v>83440</v>
      </c>
      <c r="K6" s="13">
        <f>SUM(H6:J6)</f>
        <v>104388</v>
      </c>
      <c r="L6" s="13">
        <f>M6-K6</f>
        <v>18552</v>
      </c>
      <c r="M6" s="13">
        <v>122940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spans="1:26" x14ac:dyDescent="0.2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6" x14ac:dyDescent="0.2">
      <c r="A8" s="8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spans="1:26" x14ac:dyDescent="0.2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spans="1:26" x14ac:dyDescent="0.2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spans="1:26" x14ac:dyDescent="0.2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spans="1:26" x14ac:dyDescent="0.2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spans="1:26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spans="1:26" x14ac:dyDescent="0.2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1:26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spans="1:26" x14ac:dyDescent="0.2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spans="1:26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x14ac:dyDescent="0.2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spans="1:26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 spans="1:26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spans="1:26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 spans="1:26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 spans="1:26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spans="1:26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spans="1:26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spans="1:26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spans="1:26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spans="1:26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spans="1:26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spans="1:26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spans="1:26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spans="1:26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spans="1:26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spans="1:26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spans="1:26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spans="1:26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spans="1:26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spans="1:26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spans="1:26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spans="1:26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spans="1:26" x14ac:dyDescent="0.2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spans="1:26" x14ac:dyDescent="0.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spans="1:26" x14ac:dyDescent="0.2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spans="1:26" x14ac:dyDescent="0.2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spans="1:26" x14ac:dyDescent="0.2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spans="1:26" x14ac:dyDescent="0.2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spans="1:26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spans="1:26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spans="1:26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spans="1:26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spans="1:26" x14ac:dyDescent="0.2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spans="1:26" x14ac:dyDescent="0.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spans="1:26" x14ac:dyDescent="0.2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spans="1:26" x14ac:dyDescent="0.2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spans="1:26" x14ac:dyDescent="0.2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spans="1:26" x14ac:dyDescent="0.2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spans="1:26" x14ac:dyDescent="0.2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spans="1:26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spans="1:26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spans="1:26" x14ac:dyDescent="0.2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spans="1:26" x14ac:dyDescent="0.2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spans="1:26" x14ac:dyDescent="0.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spans="1:26" x14ac:dyDescent="0.2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spans="1:26" x14ac:dyDescent="0.2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spans="1:26" x14ac:dyDescent="0.2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spans="1:26" x14ac:dyDescent="0.2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spans="1:26" x14ac:dyDescent="0.2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spans="1:26" x14ac:dyDescent="0.2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spans="1:26" x14ac:dyDescent="0.2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spans="1:26" x14ac:dyDescent="0.2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spans="1:26" x14ac:dyDescent="0.2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spans="1:26" x14ac:dyDescent="0.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spans="1:26" x14ac:dyDescent="0.2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spans="1:26" x14ac:dyDescent="0.2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spans="1:26" x14ac:dyDescent="0.2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spans="1:26" x14ac:dyDescent="0.2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spans="1:26" x14ac:dyDescent="0.2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spans="1:26" x14ac:dyDescent="0.2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spans="1:26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spans="1:26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spans="1:26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spans="1:26" x14ac:dyDescent="0.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spans="1:26" x14ac:dyDescent="0.2">
      <c r="A83" s="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spans="1:26" x14ac:dyDescent="0.2">
      <c r="A84" s="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spans="1:26" x14ac:dyDescent="0.2">
      <c r="A85" s="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spans="1:26" x14ac:dyDescent="0.2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spans="1:26" x14ac:dyDescent="0.2">
      <c r="A87" s="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spans="1:26" x14ac:dyDescent="0.2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spans="1:26" x14ac:dyDescent="0.2">
      <c r="A89" s="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spans="1:26" x14ac:dyDescent="0.2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spans="1:26" x14ac:dyDescent="0.2">
      <c r="A91" s="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spans="1:26" x14ac:dyDescent="0.2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spans="1:26" x14ac:dyDescent="0.2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spans="1:26" x14ac:dyDescent="0.2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spans="1:26" x14ac:dyDescent="0.2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spans="1:26" x14ac:dyDescent="0.2">
      <c r="A96" s="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spans="1:26" x14ac:dyDescent="0.2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spans="1:26" x14ac:dyDescent="0.2">
      <c r="A98" s="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spans="1:26" x14ac:dyDescent="0.2">
      <c r="A99" s="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spans="1:26" x14ac:dyDescent="0.2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spans="1:26" x14ac:dyDescent="0.2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spans="1:26" x14ac:dyDescent="0.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spans="1:26" x14ac:dyDescent="0.2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spans="1:26" x14ac:dyDescent="0.2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D0AA-9678-4E1D-B7F9-F3468987412E}">
  <dimension ref="A1:Z104"/>
  <sheetViews>
    <sheetView rightToLeft="1" tabSelected="1" zoomScale="85" zoomScaleNormal="85" workbookViewId="0">
      <pane ySplit="1" topLeftCell="A2" activePane="bottomLeft" state="frozen"/>
      <selection pane="bottomLeft" activeCell="C4" sqref="C4"/>
    </sheetView>
  </sheetViews>
  <sheetFormatPr defaultColWidth="8.625" defaultRowHeight="18.75" x14ac:dyDescent="0.2"/>
  <cols>
    <col min="1" max="1" width="13.875" style="1" customWidth="1"/>
    <col min="2" max="2" width="19.875" style="1" customWidth="1"/>
    <col min="3" max="3" width="17.5" style="1" customWidth="1"/>
    <col min="4" max="4" width="18.25" style="1" customWidth="1"/>
    <col min="5" max="5" width="14.625" style="1" customWidth="1"/>
    <col min="6" max="6" width="15.625" style="1" customWidth="1"/>
    <col min="7" max="7" width="12" style="1" customWidth="1"/>
    <col min="8" max="8" width="11.5" style="1" customWidth="1"/>
    <col min="9" max="9" width="12.125" style="1" customWidth="1"/>
    <col min="10" max="10" width="15.75" style="1" customWidth="1"/>
    <col min="11" max="11" width="24.125" style="1" customWidth="1"/>
    <col min="12" max="12" width="13.625" style="1" customWidth="1"/>
    <col min="13" max="13" width="15.5" style="1" customWidth="1"/>
    <col min="14" max="14" width="12.125" style="1" customWidth="1"/>
    <col min="15" max="22" width="10.375" style="1" customWidth="1"/>
    <col min="23" max="26" width="11.125" style="1" customWidth="1"/>
    <col min="27" max="16384" width="8.625" style="1"/>
  </cols>
  <sheetData>
    <row r="1" spans="1:26" s="5" customFormat="1" ht="71.099999999999994" customHeight="1" x14ac:dyDescent="0.2">
      <c r="A1" s="2" t="s">
        <v>9</v>
      </c>
      <c r="B1" s="3" t="s">
        <v>24</v>
      </c>
      <c r="C1" s="3" t="s">
        <v>25</v>
      </c>
      <c r="D1" s="3" t="s">
        <v>26</v>
      </c>
      <c r="E1" s="16" t="s">
        <v>28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29</v>
      </c>
      <c r="K1" s="3" t="s">
        <v>36</v>
      </c>
      <c r="L1" s="3" t="s">
        <v>35</v>
      </c>
      <c r="M1" s="3" t="s">
        <v>34</v>
      </c>
      <c r="N1" s="3" t="s">
        <v>37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4" t="s">
        <v>23</v>
      </c>
    </row>
    <row r="2" spans="1:26" s="5" customFormat="1" ht="71.099999999999994" customHeight="1" x14ac:dyDescent="0.2">
      <c r="A2" s="12" t="s">
        <v>51</v>
      </c>
      <c r="B2" s="13">
        <v>21.5</v>
      </c>
      <c r="C2" s="13">
        <v>25.4</v>
      </c>
      <c r="D2" s="13">
        <v>19.03</v>
      </c>
      <c r="E2" s="13">
        <v>1070</v>
      </c>
      <c r="F2" s="13">
        <v>173</v>
      </c>
      <c r="G2" s="13">
        <v>1202</v>
      </c>
      <c r="H2" s="13">
        <v>11910</v>
      </c>
      <c r="I2" s="13">
        <v>43873</v>
      </c>
      <c r="J2" s="13">
        <f>SUM(Table57[[#This Row],[تعمیرات نوع 1
(احداث)]:[تعمیرات نوع 3 
(درب و پنجره)]])</f>
        <v>56985</v>
      </c>
      <c r="K2" s="13">
        <v>2623</v>
      </c>
      <c r="L2" s="26"/>
      <c r="M2" s="13">
        <v>2375</v>
      </c>
      <c r="N2" s="13">
        <v>13470</v>
      </c>
      <c r="O2" s="13"/>
      <c r="P2" s="13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s="17" customFormat="1" ht="71.099999999999994" customHeight="1" x14ac:dyDescent="0.2">
      <c r="A3" s="12" t="s">
        <v>50</v>
      </c>
      <c r="B3" s="13">
        <v>20.9</v>
      </c>
      <c r="C3" s="13">
        <v>2.61</v>
      </c>
      <c r="D3" s="13">
        <v>18.28</v>
      </c>
      <c r="E3" s="13">
        <v>374</v>
      </c>
      <c r="F3" s="13">
        <v>170</v>
      </c>
      <c r="G3" s="13">
        <v>874</v>
      </c>
      <c r="H3" s="13">
        <v>9848</v>
      </c>
      <c r="I3" s="13">
        <v>42833</v>
      </c>
      <c r="J3" s="13">
        <f>SUM(Table57[[#This Row],[تعمیرات نوع 1
(احداث)]:[تعمیرات نوع 3 
(درب و پنجره)]])</f>
        <v>53555</v>
      </c>
      <c r="K3" s="13">
        <v>2623</v>
      </c>
      <c r="L3" s="13">
        <v>2537</v>
      </c>
      <c r="M3" s="18">
        <v>2344</v>
      </c>
      <c r="N3" s="13">
        <v>13340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spans="1:26" s="5" customFormat="1" ht="71.099999999999994" customHeight="1" x14ac:dyDescent="0.2">
      <c r="A4" s="12" t="s">
        <v>47</v>
      </c>
      <c r="B4" s="13">
        <v>20.82</v>
      </c>
      <c r="C4" s="13">
        <v>4.5999999999999996</v>
      </c>
      <c r="D4" s="13">
        <v>28.2</v>
      </c>
      <c r="E4" s="13">
        <v>342</v>
      </c>
      <c r="F4" s="13">
        <v>145</v>
      </c>
      <c r="G4" s="13">
        <v>612</v>
      </c>
      <c r="H4" s="13">
        <v>7897</v>
      </c>
      <c r="I4" s="13">
        <v>41995</v>
      </c>
      <c r="J4" s="13">
        <f>SUM(Table57[[#This Row],[تعمیرات نوع 1
(احداث)]:[تعمیرات نوع 3 
(درب و پنجره)]])</f>
        <v>50504</v>
      </c>
      <c r="K4" s="13">
        <v>2587</v>
      </c>
      <c r="L4" s="13">
        <v>2402</v>
      </c>
      <c r="M4" s="13">
        <v>2162</v>
      </c>
      <c r="N4" s="13">
        <v>12240</v>
      </c>
      <c r="O4" s="13"/>
      <c r="P4" s="13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s="5" customFormat="1" ht="30.95" customHeight="1" x14ac:dyDescent="0.2">
      <c r="A5" s="12" t="s">
        <v>45</v>
      </c>
      <c r="B5" s="13">
        <v>20.56</v>
      </c>
      <c r="C5" s="13">
        <v>2.56</v>
      </c>
      <c r="D5" s="13" t="s">
        <v>46</v>
      </c>
      <c r="E5" s="13">
        <v>338</v>
      </c>
      <c r="F5" s="13">
        <v>35</v>
      </c>
      <c r="G5" s="13">
        <v>573</v>
      </c>
      <c r="H5" s="13">
        <v>5107</v>
      </c>
      <c r="I5" s="13">
        <v>40303</v>
      </c>
      <c r="J5" s="13">
        <v>45983</v>
      </c>
      <c r="K5" s="13">
        <v>2549</v>
      </c>
      <c r="L5" s="13">
        <v>2335</v>
      </c>
      <c r="M5" s="13">
        <v>2090</v>
      </c>
      <c r="N5" s="13">
        <v>11840</v>
      </c>
      <c r="O5" s="13"/>
      <c r="P5" s="13"/>
      <c r="Q5" s="6"/>
      <c r="R5" s="6"/>
      <c r="S5" s="6"/>
      <c r="T5" s="6"/>
      <c r="U5" s="6"/>
      <c r="V5" s="6"/>
      <c r="W5" s="6"/>
      <c r="X5" s="6"/>
      <c r="Y5" s="6"/>
      <c r="Z5" s="7"/>
    </row>
    <row r="6" spans="1:26" s="15" customFormat="1" ht="29.1" customHeight="1" x14ac:dyDescent="0.2">
      <c r="A6" s="12" t="s">
        <v>10</v>
      </c>
      <c r="B6" s="13">
        <v>20.04</v>
      </c>
      <c r="C6" s="13">
        <v>2.4900000000000002</v>
      </c>
      <c r="D6" s="13" t="s">
        <v>27</v>
      </c>
      <c r="E6" s="13">
        <v>300</v>
      </c>
      <c r="F6" s="13">
        <v>767</v>
      </c>
      <c r="G6" s="13">
        <v>280</v>
      </c>
      <c r="H6" s="13">
        <v>2827</v>
      </c>
      <c r="I6" s="13">
        <v>32111</v>
      </c>
      <c r="J6" s="13">
        <v>35218</v>
      </c>
      <c r="K6" s="13">
        <v>1981</v>
      </c>
      <c r="L6" s="13">
        <v>1890</v>
      </c>
      <c r="M6" s="13">
        <v>1668</v>
      </c>
      <c r="N6" s="13">
        <v>9277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spans="1:26" ht="25.5" x14ac:dyDescent="0.2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6" ht="25.5" x14ac:dyDescent="0.2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6"/>
      <c r="R8" s="6"/>
      <c r="S8" s="6"/>
      <c r="T8" s="6"/>
      <c r="U8" s="6"/>
      <c r="V8" s="6"/>
      <c r="W8" s="6"/>
      <c r="X8" s="6"/>
      <c r="Y8" s="6"/>
      <c r="Z8" s="7"/>
    </row>
    <row r="9" spans="1:26" ht="25.5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6"/>
      <c r="R9" s="6"/>
      <c r="S9" s="6"/>
      <c r="T9" s="6"/>
      <c r="U9" s="6"/>
      <c r="V9" s="6"/>
      <c r="W9" s="6"/>
      <c r="X9" s="6"/>
      <c r="Y9" s="6"/>
      <c r="Z9" s="7"/>
    </row>
    <row r="10" spans="1:26" ht="25.5" x14ac:dyDescent="0.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spans="1:26" x14ac:dyDescent="0.2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spans="1:26" x14ac:dyDescent="0.2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spans="1:26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spans="1:26" x14ac:dyDescent="0.2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spans="1:26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spans="1:26" x14ac:dyDescent="0.2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spans="1:26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spans="1:26" x14ac:dyDescent="0.2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spans="1:26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 spans="1:26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spans="1:26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 spans="1:26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 spans="1:26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spans="1:26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spans="1:26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spans="1:26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spans="1:26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spans="1:26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spans="1:26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spans="1:26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spans="1:26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spans="1:26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spans="1:26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spans="1:26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spans="1:26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spans="1:26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spans="1:26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spans="1:26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spans="1:26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spans="1:26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spans="1:26" x14ac:dyDescent="0.2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spans="1:26" x14ac:dyDescent="0.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spans="1:26" x14ac:dyDescent="0.2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spans="1:26" x14ac:dyDescent="0.2">
      <c r="A44" s="8"/>
      <c r="B44" s="6"/>
      <c r="C44" s="6"/>
      <c r="D44" s="6"/>
      <c r="E44" s="6"/>
      <c r="F44" s="6"/>
      <c r="G44" s="6"/>
      <c r="H44" s="6"/>
      <c r="I44" s="6"/>
      <c r="J44" s="6">
        <f>SUM(Table57[[#This Row],[تعمیرات نوع 1
(احداث)]:[تعمیرات نوع 3 
(درب و پنجره)]])</f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spans="1:26" x14ac:dyDescent="0.2">
      <c r="A45" s="8"/>
      <c r="B45" s="6"/>
      <c r="C45" s="6"/>
      <c r="D45" s="6"/>
      <c r="E45" s="6"/>
      <c r="F45" s="6"/>
      <c r="G45" s="6"/>
      <c r="H45" s="6"/>
      <c r="I45" s="6"/>
      <c r="J45" s="6">
        <f>SUM(Table57[[#This Row],[تعمیرات نوع 1
(احداث)]:[تعمیرات نوع 3 
(درب و پنجره)]])</f>
        <v>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spans="1:26" x14ac:dyDescent="0.2">
      <c r="A46" s="8"/>
      <c r="B46" s="6"/>
      <c r="C46" s="6"/>
      <c r="D46" s="6"/>
      <c r="E46" s="6"/>
      <c r="F46" s="6"/>
      <c r="G46" s="6"/>
      <c r="H46" s="6"/>
      <c r="I46" s="6"/>
      <c r="J46" s="6">
        <f>SUM(Table57[[#This Row],[تعمیرات نوع 1
(احداث)]:[تعمیرات نوع 3 
(درب و پنجره)]])</f>
        <v>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spans="1:26" x14ac:dyDescent="0.2">
      <c r="A47" s="8"/>
      <c r="B47" s="6"/>
      <c r="C47" s="6"/>
      <c r="D47" s="6"/>
      <c r="E47" s="6"/>
      <c r="F47" s="6"/>
      <c r="G47" s="6"/>
      <c r="H47" s="6"/>
      <c r="I47" s="6"/>
      <c r="J47" s="6">
        <f>SUM(Table57[[#This Row],[تعمیرات نوع 1
(احداث)]:[تعمیرات نوع 3 
(درب و پنجره)]])</f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spans="1:26" x14ac:dyDescent="0.2">
      <c r="A48" s="8"/>
      <c r="B48" s="6"/>
      <c r="C48" s="6"/>
      <c r="D48" s="6"/>
      <c r="E48" s="6"/>
      <c r="F48" s="6"/>
      <c r="G48" s="6"/>
      <c r="H48" s="6"/>
      <c r="I48" s="6"/>
      <c r="J48" s="6">
        <f>SUM(Table57[[#This Row],[تعمیرات نوع 1
(احداث)]:[تعمیرات نوع 3 
(درب و پنجره)]])</f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spans="1:26" x14ac:dyDescent="0.2">
      <c r="A49" s="8"/>
      <c r="B49" s="6"/>
      <c r="C49" s="6"/>
      <c r="D49" s="6"/>
      <c r="E49" s="6"/>
      <c r="F49" s="6"/>
      <c r="G49" s="6"/>
      <c r="H49" s="6"/>
      <c r="I49" s="6"/>
      <c r="J49" s="6">
        <f>SUM(Table57[[#This Row],[تعمیرات نوع 1
(احداث)]:[تعمیرات نوع 3 
(درب و پنجره)]])</f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spans="1:26" x14ac:dyDescent="0.2">
      <c r="A50" s="8"/>
      <c r="B50" s="6"/>
      <c r="C50" s="6"/>
      <c r="D50" s="6"/>
      <c r="E50" s="6"/>
      <c r="F50" s="6"/>
      <c r="G50" s="6"/>
      <c r="H50" s="6"/>
      <c r="I50" s="6"/>
      <c r="J50" s="6">
        <f>SUM(Table57[[#This Row],[تعمیرات نوع 1
(احداث)]:[تعمیرات نوع 3 
(درب و پنجره)]])</f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spans="1:26" x14ac:dyDescent="0.2">
      <c r="A51" s="8"/>
      <c r="B51" s="6"/>
      <c r="C51" s="6"/>
      <c r="D51" s="6"/>
      <c r="E51" s="6"/>
      <c r="F51" s="6"/>
      <c r="G51" s="6"/>
      <c r="H51" s="6"/>
      <c r="I51" s="6"/>
      <c r="J51" s="6">
        <f>SUM(Table57[[#This Row],[تعمیرات نوع 1
(احداث)]:[تعمیرات نوع 3 
(درب و پنجره)]])</f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spans="1:26" x14ac:dyDescent="0.2">
      <c r="A52" s="8"/>
      <c r="B52" s="6"/>
      <c r="C52" s="6"/>
      <c r="D52" s="6"/>
      <c r="E52" s="6"/>
      <c r="F52" s="6"/>
      <c r="G52" s="6"/>
      <c r="H52" s="6"/>
      <c r="I52" s="6"/>
      <c r="J52" s="6">
        <f>SUM(Table57[[#This Row],[تعمیرات نوع 1
(احداث)]:[تعمیرات نوع 3 
(درب و پنجره)]])</f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spans="1:26" x14ac:dyDescent="0.2">
      <c r="A53" s="8"/>
      <c r="B53" s="6"/>
      <c r="C53" s="6"/>
      <c r="D53" s="6"/>
      <c r="E53" s="6"/>
      <c r="F53" s="6"/>
      <c r="G53" s="6"/>
      <c r="H53" s="6"/>
      <c r="I53" s="6"/>
      <c r="J53" s="6">
        <f>SUM(Table57[[#This Row],[تعمیرات نوع 1
(احداث)]:[تعمیرات نوع 3 
(درب و پنجره)]])</f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spans="1:26" x14ac:dyDescent="0.2">
      <c r="A54" s="8"/>
      <c r="B54" s="6"/>
      <c r="C54" s="6"/>
      <c r="D54" s="6"/>
      <c r="E54" s="6"/>
      <c r="F54" s="6"/>
      <c r="G54" s="6"/>
      <c r="H54" s="6"/>
      <c r="I54" s="6"/>
      <c r="J54" s="6">
        <f>SUM(Table57[[#This Row],[تعمیرات نوع 1
(احداث)]:[تعمیرات نوع 3 
(درب و پنجره)]])</f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spans="1:26" x14ac:dyDescent="0.2">
      <c r="A55" s="8"/>
      <c r="B55" s="6"/>
      <c r="C55" s="6"/>
      <c r="D55" s="6"/>
      <c r="E55" s="6"/>
      <c r="F55" s="6"/>
      <c r="G55" s="6"/>
      <c r="H55" s="6"/>
      <c r="I55" s="6"/>
      <c r="J55" s="6">
        <f>SUM(Table57[[#This Row],[تعمیرات نوع 1
(احداث)]:[تعمیرات نوع 3 
(درب و پنجره)]])</f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spans="1:26" x14ac:dyDescent="0.2">
      <c r="A56" s="8"/>
      <c r="B56" s="6"/>
      <c r="C56" s="6"/>
      <c r="D56" s="6"/>
      <c r="E56" s="6"/>
      <c r="F56" s="6"/>
      <c r="G56" s="6"/>
      <c r="H56" s="6"/>
      <c r="I56" s="6"/>
      <c r="J56" s="6">
        <f>SUM(Table57[[#This Row],[تعمیرات نوع 1
(احداث)]:[تعمیرات نوع 3 
(درب و پنجره)]])</f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spans="1:26" x14ac:dyDescent="0.2">
      <c r="A57" s="8"/>
      <c r="B57" s="6"/>
      <c r="C57" s="6"/>
      <c r="D57" s="6"/>
      <c r="E57" s="6"/>
      <c r="F57" s="6"/>
      <c r="G57" s="6"/>
      <c r="H57" s="6"/>
      <c r="I57" s="6"/>
      <c r="J57" s="6">
        <f>SUM(Table57[[#This Row],[تعمیرات نوع 1
(احداث)]:[تعمیرات نوع 3 
(درب و پنجره)]])</f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spans="1:26" x14ac:dyDescent="0.2">
      <c r="A58" s="8"/>
      <c r="B58" s="6"/>
      <c r="C58" s="6"/>
      <c r="D58" s="6"/>
      <c r="E58" s="6"/>
      <c r="F58" s="6"/>
      <c r="G58" s="6"/>
      <c r="H58" s="6"/>
      <c r="I58" s="6"/>
      <c r="J58" s="6">
        <f>SUM(Table57[[#This Row],[تعمیرات نوع 1
(احداث)]:[تعمیرات نوع 3 
(درب و پنجره)]])</f>
        <v>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spans="1:26" x14ac:dyDescent="0.2">
      <c r="A59" s="8"/>
      <c r="B59" s="6"/>
      <c r="C59" s="6"/>
      <c r="D59" s="6"/>
      <c r="E59" s="6"/>
      <c r="F59" s="6"/>
      <c r="G59" s="6"/>
      <c r="H59" s="6"/>
      <c r="I59" s="6"/>
      <c r="J59" s="6">
        <f>SUM(Table57[[#This Row],[تعمیرات نوع 1
(احداث)]:[تعمیرات نوع 3 
(درب و پنجره)]])</f>
        <v>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spans="1:26" x14ac:dyDescent="0.2">
      <c r="A60" s="8"/>
      <c r="B60" s="6"/>
      <c r="C60" s="6"/>
      <c r="D60" s="6"/>
      <c r="E60" s="6"/>
      <c r="F60" s="6"/>
      <c r="G60" s="6"/>
      <c r="H60" s="6"/>
      <c r="I60" s="6"/>
      <c r="J60" s="6">
        <f>SUM(Table57[[#This Row],[تعمیرات نوع 1
(احداث)]:[تعمیرات نوع 3 
(درب و پنجره)]])</f>
        <v>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spans="1:26" x14ac:dyDescent="0.2">
      <c r="A61" s="8"/>
      <c r="B61" s="6"/>
      <c r="C61" s="6"/>
      <c r="D61" s="6"/>
      <c r="E61" s="6"/>
      <c r="F61" s="6"/>
      <c r="G61" s="6"/>
      <c r="H61" s="6"/>
      <c r="I61" s="6"/>
      <c r="J61" s="6">
        <f>SUM(Table57[[#This Row],[تعمیرات نوع 1
(احداث)]:[تعمیرات نوع 3 
(درب و پنجره)]])</f>
        <v>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spans="1:26" x14ac:dyDescent="0.2">
      <c r="A62" s="8"/>
      <c r="B62" s="6"/>
      <c r="C62" s="6"/>
      <c r="D62" s="6"/>
      <c r="E62" s="6"/>
      <c r="F62" s="6"/>
      <c r="G62" s="6"/>
      <c r="H62" s="6"/>
      <c r="I62" s="6"/>
      <c r="J62" s="6">
        <f>SUM(Table57[[#This Row],[تعمیرات نوع 1
(احداث)]:[تعمیرات نوع 3 
(درب و پنجره)]])</f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spans="1:26" x14ac:dyDescent="0.2">
      <c r="A63" s="8"/>
      <c r="B63" s="6"/>
      <c r="C63" s="6"/>
      <c r="D63" s="6"/>
      <c r="E63" s="6"/>
      <c r="F63" s="6"/>
      <c r="G63" s="6"/>
      <c r="H63" s="6"/>
      <c r="I63" s="6"/>
      <c r="J63" s="6">
        <f>SUM(Table57[[#This Row],[تعمیرات نوع 1
(احداث)]:[تعمیرات نوع 3 
(درب و پنجره)]])</f>
        <v>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spans="1:26" x14ac:dyDescent="0.2">
      <c r="A64" s="8"/>
      <c r="B64" s="6"/>
      <c r="C64" s="6"/>
      <c r="D64" s="6"/>
      <c r="E64" s="6"/>
      <c r="F64" s="6"/>
      <c r="G64" s="6"/>
      <c r="H64" s="6"/>
      <c r="I64" s="6"/>
      <c r="J64" s="6">
        <f>SUM(Table57[[#This Row],[تعمیرات نوع 1
(احداث)]:[تعمیرات نوع 3 
(درب و پنجره)]])</f>
        <v>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spans="1:26" x14ac:dyDescent="0.2">
      <c r="A65" s="8"/>
      <c r="B65" s="6"/>
      <c r="C65" s="6"/>
      <c r="D65" s="6"/>
      <c r="E65" s="6"/>
      <c r="F65" s="6"/>
      <c r="G65" s="6"/>
      <c r="H65" s="6"/>
      <c r="I65" s="6"/>
      <c r="J65" s="6">
        <f>SUM(Table57[[#This Row],[تعمیرات نوع 1
(احداث)]:[تعمیرات نوع 3 
(درب و پنجره)]])</f>
        <v>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spans="1:26" x14ac:dyDescent="0.2">
      <c r="A66" s="8"/>
      <c r="B66" s="6"/>
      <c r="C66" s="6"/>
      <c r="D66" s="6"/>
      <c r="E66" s="6"/>
      <c r="F66" s="6"/>
      <c r="G66" s="6"/>
      <c r="H66" s="6"/>
      <c r="I66" s="6"/>
      <c r="J66" s="6">
        <f>SUM(Table57[[#This Row],[تعمیرات نوع 1
(احداث)]:[تعمیرات نوع 3 
(درب و پنجره)]])</f>
        <v>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spans="1:26" x14ac:dyDescent="0.2">
      <c r="A67" s="8"/>
      <c r="B67" s="6"/>
      <c r="C67" s="6"/>
      <c r="D67" s="6"/>
      <c r="E67" s="6"/>
      <c r="F67" s="6"/>
      <c r="G67" s="6"/>
      <c r="H67" s="6"/>
      <c r="I67" s="6"/>
      <c r="J67" s="6">
        <f>SUM(Table57[[#This Row],[تعمیرات نوع 1
(احداث)]:[تعمیرات نوع 3 
(درب و پنجره)]])</f>
        <v>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spans="1:26" x14ac:dyDescent="0.2">
      <c r="A68" s="8"/>
      <c r="B68" s="6"/>
      <c r="C68" s="6"/>
      <c r="D68" s="6"/>
      <c r="E68" s="6"/>
      <c r="F68" s="6"/>
      <c r="G68" s="6"/>
      <c r="H68" s="6"/>
      <c r="I68" s="6"/>
      <c r="J68" s="6">
        <f>SUM(Table57[[#This Row],[تعمیرات نوع 1
(احداث)]:[تعمیرات نوع 3 
(درب و پنجره)]])</f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spans="1:26" x14ac:dyDescent="0.2">
      <c r="A69" s="8"/>
      <c r="B69" s="6"/>
      <c r="C69" s="6"/>
      <c r="D69" s="6"/>
      <c r="E69" s="6"/>
      <c r="F69" s="6"/>
      <c r="G69" s="6"/>
      <c r="H69" s="6"/>
      <c r="I69" s="6"/>
      <c r="J69" s="6">
        <f>SUM(Table57[[#This Row],[تعمیرات نوع 1
(احداث)]:[تعمیرات نوع 3 
(درب و پنجره)]])</f>
        <v>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spans="1:26" x14ac:dyDescent="0.2">
      <c r="A70" s="8"/>
      <c r="B70" s="6"/>
      <c r="C70" s="6"/>
      <c r="D70" s="6"/>
      <c r="E70" s="6"/>
      <c r="F70" s="6"/>
      <c r="G70" s="6"/>
      <c r="H70" s="6"/>
      <c r="I70" s="6"/>
      <c r="J70" s="6">
        <f>SUM(Table57[[#This Row],[تعمیرات نوع 1
(احداث)]:[تعمیرات نوع 3 
(درب و پنجره)]])</f>
        <v>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spans="1:26" x14ac:dyDescent="0.2">
      <c r="A71" s="8"/>
      <c r="B71" s="6"/>
      <c r="C71" s="6"/>
      <c r="D71" s="6"/>
      <c r="E71" s="6"/>
      <c r="F71" s="6"/>
      <c r="G71" s="6"/>
      <c r="H71" s="6"/>
      <c r="I71" s="6"/>
      <c r="J71" s="6">
        <f>SUM(Table57[[#This Row],[تعمیرات نوع 1
(احداث)]:[تعمیرات نوع 3 
(درب و پنجره)]])</f>
        <v>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spans="1:26" x14ac:dyDescent="0.2">
      <c r="A72" s="8"/>
      <c r="B72" s="6"/>
      <c r="C72" s="6"/>
      <c r="D72" s="6"/>
      <c r="E72" s="6"/>
      <c r="F72" s="6"/>
      <c r="G72" s="6"/>
      <c r="H72" s="6"/>
      <c r="I72" s="6"/>
      <c r="J72" s="6">
        <f>SUM(Table57[[#This Row],[تعمیرات نوع 1
(احداث)]:[تعمیرات نوع 3 
(درب و پنجره)]])</f>
        <v>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spans="1:26" x14ac:dyDescent="0.2">
      <c r="A73" s="8"/>
      <c r="B73" s="6"/>
      <c r="C73" s="6"/>
      <c r="D73" s="6"/>
      <c r="E73" s="6"/>
      <c r="F73" s="6"/>
      <c r="G73" s="6"/>
      <c r="H73" s="6"/>
      <c r="I73" s="6"/>
      <c r="J73" s="6">
        <f>SUM(Table57[[#This Row],[تعمیرات نوع 1
(احداث)]:[تعمیرات نوع 3 
(درب و پنجره)]])</f>
        <v>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spans="1:26" x14ac:dyDescent="0.2">
      <c r="A74" s="8"/>
      <c r="B74" s="6"/>
      <c r="C74" s="6"/>
      <c r="D74" s="6"/>
      <c r="E74" s="6"/>
      <c r="F74" s="6"/>
      <c r="G74" s="6"/>
      <c r="H74" s="6"/>
      <c r="I74" s="6"/>
      <c r="J74" s="6">
        <f>SUM(Table57[[#This Row],[تعمیرات نوع 1
(احداث)]:[تعمیرات نوع 3 
(درب و پنجره)]])</f>
        <v>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spans="1:26" x14ac:dyDescent="0.2">
      <c r="A75" s="8"/>
      <c r="B75" s="6"/>
      <c r="C75" s="6"/>
      <c r="D75" s="6"/>
      <c r="E75" s="6"/>
      <c r="F75" s="6"/>
      <c r="G75" s="6"/>
      <c r="H75" s="6"/>
      <c r="I75" s="6"/>
      <c r="J75" s="6">
        <f>SUM(Table57[[#This Row],[تعمیرات نوع 1
(احداث)]:[تعمیرات نوع 3 
(درب و پنجره)]])</f>
        <v>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spans="1:26" x14ac:dyDescent="0.2">
      <c r="A76" s="8"/>
      <c r="B76" s="6"/>
      <c r="C76" s="6"/>
      <c r="D76" s="6"/>
      <c r="E76" s="6"/>
      <c r="F76" s="6"/>
      <c r="G76" s="6"/>
      <c r="H76" s="6"/>
      <c r="I76" s="6"/>
      <c r="J76" s="6">
        <f>SUM(Table57[[#This Row],[تعمیرات نوع 1
(احداث)]:[تعمیرات نوع 3 
(درب و پنجره)]])</f>
        <v>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spans="1:26" x14ac:dyDescent="0.2">
      <c r="A77" s="8"/>
      <c r="B77" s="6"/>
      <c r="C77" s="6"/>
      <c r="D77" s="6"/>
      <c r="E77" s="6"/>
      <c r="F77" s="6"/>
      <c r="G77" s="6"/>
      <c r="H77" s="6"/>
      <c r="I77" s="6"/>
      <c r="J77" s="6">
        <f>SUM(Table57[[#This Row],[تعمیرات نوع 1
(احداث)]:[تعمیرات نوع 3 
(درب و پنجره)]])</f>
        <v>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spans="1:26" x14ac:dyDescent="0.2">
      <c r="A78" s="8"/>
      <c r="B78" s="6"/>
      <c r="C78" s="6"/>
      <c r="D78" s="6"/>
      <c r="E78" s="6"/>
      <c r="F78" s="6"/>
      <c r="G78" s="6"/>
      <c r="H78" s="6"/>
      <c r="I78" s="6"/>
      <c r="J78" s="6">
        <f>SUM(Table57[[#This Row],[تعمیرات نوع 1
(احداث)]:[تعمیرات نوع 3 
(درب و پنجره)]])</f>
        <v>0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spans="1:26" x14ac:dyDescent="0.2">
      <c r="A79" s="8"/>
      <c r="B79" s="6"/>
      <c r="C79" s="6"/>
      <c r="D79" s="6"/>
      <c r="E79" s="6"/>
      <c r="F79" s="6"/>
      <c r="G79" s="6"/>
      <c r="H79" s="6"/>
      <c r="I79" s="6"/>
      <c r="J79" s="6">
        <f>SUM(Table57[[#This Row],[تعمیرات نوع 1
(احداث)]:[تعمیرات نوع 3 
(درب و پنجره)]])</f>
        <v>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spans="1:26" x14ac:dyDescent="0.2">
      <c r="A80" s="8"/>
      <c r="B80" s="6"/>
      <c r="C80" s="6"/>
      <c r="D80" s="6"/>
      <c r="E80" s="6"/>
      <c r="F80" s="6"/>
      <c r="G80" s="6"/>
      <c r="H80" s="6"/>
      <c r="I80" s="6"/>
      <c r="J80" s="6">
        <f>SUM(Table57[[#This Row],[تعمیرات نوع 1
(احداث)]:[تعمیرات نوع 3 
(درب و پنجره)]])</f>
        <v>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spans="1:26" x14ac:dyDescent="0.2">
      <c r="A81" s="8"/>
      <c r="B81" s="6"/>
      <c r="C81" s="6"/>
      <c r="D81" s="6"/>
      <c r="E81" s="6"/>
      <c r="F81" s="6"/>
      <c r="G81" s="6"/>
      <c r="H81" s="6"/>
      <c r="I81" s="6"/>
      <c r="J81" s="6">
        <f>SUM(Table57[[#This Row],[تعمیرات نوع 1
(احداث)]:[تعمیرات نوع 3 
(درب و پنجره)]])</f>
        <v>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spans="1:26" x14ac:dyDescent="0.2">
      <c r="A82" s="8"/>
      <c r="B82" s="6"/>
      <c r="C82" s="6"/>
      <c r="D82" s="6"/>
      <c r="E82" s="6"/>
      <c r="F82" s="6"/>
      <c r="G82" s="6"/>
      <c r="H82" s="6"/>
      <c r="I82" s="6"/>
      <c r="J82" s="6">
        <f>SUM(Table57[[#This Row],[تعمیرات نوع 1
(احداث)]:[تعمیرات نوع 3 
(درب و پنجره)]])</f>
        <v>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spans="1:26" x14ac:dyDescent="0.2">
      <c r="A83" s="8"/>
      <c r="B83" s="6"/>
      <c r="C83" s="6"/>
      <c r="D83" s="6"/>
      <c r="E83" s="6"/>
      <c r="F83" s="6"/>
      <c r="G83" s="6"/>
      <c r="H83" s="6"/>
      <c r="I83" s="6"/>
      <c r="J83" s="6">
        <f>SUM(Table57[[#This Row],[تعمیرات نوع 1
(احداث)]:[تعمیرات نوع 3 
(درب و پنجره)]])</f>
        <v>0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spans="1:26" x14ac:dyDescent="0.2">
      <c r="A84" s="8"/>
      <c r="B84" s="6"/>
      <c r="C84" s="6"/>
      <c r="D84" s="6"/>
      <c r="E84" s="6"/>
      <c r="F84" s="6"/>
      <c r="G84" s="6"/>
      <c r="H84" s="6"/>
      <c r="I84" s="6"/>
      <c r="J84" s="6">
        <f>SUM(Table57[[#This Row],[تعمیرات نوع 1
(احداث)]:[تعمیرات نوع 3 
(درب و پنجره)]])</f>
        <v>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spans="1:26" x14ac:dyDescent="0.2">
      <c r="A85" s="8"/>
      <c r="B85" s="6"/>
      <c r="C85" s="6"/>
      <c r="D85" s="6"/>
      <c r="E85" s="6"/>
      <c r="F85" s="6"/>
      <c r="G85" s="6"/>
      <c r="H85" s="6"/>
      <c r="I85" s="6"/>
      <c r="J85" s="6">
        <f>SUM(Table57[[#This Row],[تعمیرات نوع 1
(احداث)]:[تعمیرات نوع 3 
(درب و پنجره)]])</f>
        <v>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spans="1:26" x14ac:dyDescent="0.2">
      <c r="A86" s="8"/>
      <c r="B86" s="6"/>
      <c r="C86" s="6"/>
      <c r="D86" s="6"/>
      <c r="E86" s="6"/>
      <c r="F86" s="6"/>
      <c r="G86" s="6"/>
      <c r="H86" s="6"/>
      <c r="I86" s="6"/>
      <c r="J86" s="6">
        <f>SUM(Table57[[#This Row],[تعمیرات نوع 1
(احداث)]:[تعمیرات نوع 3 
(درب و پنجره)]])</f>
        <v>0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spans="1:26" x14ac:dyDescent="0.2">
      <c r="A87" s="8"/>
      <c r="B87" s="6"/>
      <c r="C87" s="6"/>
      <c r="D87" s="6"/>
      <c r="E87" s="6"/>
      <c r="F87" s="6"/>
      <c r="G87" s="6"/>
      <c r="H87" s="6"/>
      <c r="I87" s="6"/>
      <c r="J87" s="6">
        <f>SUM(Table57[[#This Row],[تعمیرات نوع 1
(احداث)]:[تعمیرات نوع 3 
(درب و پنجره)]])</f>
        <v>0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spans="1:26" x14ac:dyDescent="0.2">
      <c r="A88" s="8"/>
      <c r="B88" s="6"/>
      <c r="C88" s="6"/>
      <c r="D88" s="6"/>
      <c r="E88" s="6"/>
      <c r="F88" s="6"/>
      <c r="G88" s="6"/>
      <c r="H88" s="6"/>
      <c r="I88" s="6"/>
      <c r="J88" s="6">
        <f>SUM(Table57[[#This Row],[تعمیرات نوع 1
(احداث)]:[تعمیرات نوع 3 
(درب و پنجره)]])</f>
        <v>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spans="1:26" x14ac:dyDescent="0.2">
      <c r="A89" s="8"/>
      <c r="B89" s="6"/>
      <c r="C89" s="6"/>
      <c r="D89" s="6"/>
      <c r="E89" s="6"/>
      <c r="F89" s="6"/>
      <c r="G89" s="6"/>
      <c r="H89" s="6"/>
      <c r="I89" s="6"/>
      <c r="J89" s="6">
        <f>SUM(Table57[[#This Row],[تعمیرات نوع 1
(احداث)]:[تعمیرات نوع 3 
(درب و پنجره)]])</f>
        <v>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spans="1:26" x14ac:dyDescent="0.2">
      <c r="A90" s="8"/>
      <c r="B90" s="6"/>
      <c r="C90" s="6"/>
      <c r="D90" s="6"/>
      <c r="E90" s="6"/>
      <c r="F90" s="6"/>
      <c r="G90" s="6"/>
      <c r="H90" s="6"/>
      <c r="I90" s="6"/>
      <c r="J90" s="6">
        <f>SUM(Table57[[#This Row],[تعمیرات نوع 1
(احداث)]:[تعمیرات نوع 3 
(درب و پنجره)]])</f>
        <v>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spans="1:26" x14ac:dyDescent="0.2">
      <c r="A91" s="8"/>
      <c r="B91" s="6"/>
      <c r="C91" s="6"/>
      <c r="D91" s="6"/>
      <c r="E91" s="6"/>
      <c r="F91" s="6"/>
      <c r="G91" s="6"/>
      <c r="H91" s="6"/>
      <c r="I91" s="6"/>
      <c r="J91" s="6">
        <f>SUM(Table57[[#This Row],[تعمیرات نوع 1
(احداث)]:[تعمیرات نوع 3 
(درب و پنجره)]])</f>
        <v>0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spans="1:26" x14ac:dyDescent="0.2">
      <c r="A92" s="8"/>
      <c r="B92" s="6"/>
      <c r="C92" s="6"/>
      <c r="D92" s="6"/>
      <c r="E92" s="6"/>
      <c r="F92" s="6"/>
      <c r="G92" s="6"/>
      <c r="H92" s="6"/>
      <c r="I92" s="6"/>
      <c r="J92" s="6">
        <f>SUM(Table57[[#This Row],[تعمیرات نوع 1
(احداث)]:[تعمیرات نوع 3 
(درب و پنجره)]])</f>
        <v>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spans="1:26" x14ac:dyDescent="0.2">
      <c r="A93" s="8"/>
      <c r="B93" s="6"/>
      <c r="C93" s="6"/>
      <c r="D93" s="6"/>
      <c r="E93" s="6"/>
      <c r="F93" s="6"/>
      <c r="G93" s="6"/>
      <c r="H93" s="6"/>
      <c r="I93" s="6"/>
      <c r="J93" s="6">
        <f>SUM(Table57[[#This Row],[تعمیرات نوع 1
(احداث)]:[تعمیرات نوع 3 
(درب و پنجره)]])</f>
        <v>0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spans="1:26" x14ac:dyDescent="0.2">
      <c r="A94" s="8"/>
      <c r="B94" s="6"/>
      <c r="C94" s="6"/>
      <c r="D94" s="6"/>
      <c r="E94" s="6"/>
      <c r="F94" s="6"/>
      <c r="G94" s="6"/>
      <c r="H94" s="6"/>
      <c r="I94" s="6"/>
      <c r="J94" s="6">
        <f>SUM(Table57[[#This Row],[تعمیرات نوع 1
(احداث)]:[تعمیرات نوع 3 
(درب و پنجره)]])</f>
        <v>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spans="1:26" x14ac:dyDescent="0.2">
      <c r="A95" s="8"/>
      <c r="B95" s="6"/>
      <c r="C95" s="6"/>
      <c r="D95" s="6"/>
      <c r="E95" s="6"/>
      <c r="F95" s="6"/>
      <c r="G95" s="6"/>
      <c r="H95" s="6"/>
      <c r="I95" s="6"/>
      <c r="J95" s="6">
        <f>SUM(Table57[[#This Row],[تعمیرات نوع 1
(احداث)]:[تعمیرات نوع 3 
(درب و پنجره)]])</f>
        <v>0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spans="1:26" x14ac:dyDescent="0.2">
      <c r="A96" s="8"/>
      <c r="B96" s="6"/>
      <c r="C96" s="6"/>
      <c r="D96" s="6"/>
      <c r="E96" s="6"/>
      <c r="F96" s="6"/>
      <c r="G96" s="6"/>
      <c r="H96" s="6"/>
      <c r="I96" s="6"/>
      <c r="J96" s="6">
        <f>SUM(Table57[[#This Row],[تعمیرات نوع 1
(احداث)]:[تعمیرات نوع 3 
(درب و پنجره)]])</f>
        <v>0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spans="1:26" x14ac:dyDescent="0.2">
      <c r="A97" s="8"/>
      <c r="B97" s="6"/>
      <c r="C97" s="6"/>
      <c r="D97" s="6"/>
      <c r="E97" s="6"/>
      <c r="F97" s="6"/>
      <c r="G97" s="6"/>
      <c r="H97" s="6"/>
      <c r="I97" s="6"/>
      <c r="J97" s="6">
        <f>SUM(Table57[[#This Row],[تعمیرات نوع 1
(احداث)]:[تعمیرات نوع 3 
(درب و پنجره)]])</f>
        <v>0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spans="1:26" x14ac:dyDescent="0.2">
      <c r="A98" s="8"/>
      <c r="B98" s="6"/>
      <c r="C98" s="6"/>
      <c r="D98" s="6"/>
      <c r="E98" s="6"/>
      <c r="F98" s="6"/>
      <c r="G98" s="6"/>
      <c r="H98" s="6"/>
      <c r="I98" s="6"/>
      <c r="J98" s="6">
        <f>SUM(Table57[[#This Row],[تعمیرات نوع 1
(احداث)]:[تعمیرات نوع 3 
(درب و پنجره)]])</f>
        <v>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spans="1:26" x14ac:dyDescent="0.2">
      <c r="A99" s="8"/>
      <c r="B99" s="6"/>
      <c r="C99" s="6"/>
      <c r="D99" s="6"/>
      <c r="E99" s="6"/>
      <c r="F99" s="6"/>
      <c r="G99" s="6"/>
      <c r="H99" s="6"/>
      <c r="I99" s="6"/>
      <c r="J99" s="6">
        <f>SUM(Table57[[#This Row],[تعمیرات نوع 1
(احداث)]:[تعمیرات نوع 3 
(درب و پنجره)]])</f>
        <v>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spans="1:26" x14ac:dyDescent="0.2">
      <c r="A100" s="8"/>
      <c r="B100" s="6"/>
      <c r="C100" s="6"/>
      <c r="D100" s="6"/>
      <c r="E100" s="6"/>
      <c r="F100" s="6"/>
      <c r="G100" s="6"/>
      <c r="H100" s="6"/>
      <c r="I100" s="6"/>
      <c r="J100" s="6">
        <f>SUM(Table57[[#This Row],[تعمیرات نوع 1
(احداث)]:[تعمیرات نوع 3 
(درب و پنجره)]])</f>
        <v>0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spans="1:26" x14ac:dyDescent="0.2">
      <c r="A101" s="8"/>
      <c r="B101" s="6"/>
      <c r="C101" s="6"/>
      <c r="D101" s="6"/>
      <c r="E101" s="6"/>
      <c r="F101" s="6"/>
      <c r="G101" s="6"/>
      <c r="H101" s="6"/>
      <c r="I101" s="6"/>
      <c r="J101" s="6">
        <f>SUM(Table57[[#This Row],[تعمیرات نوع 1
(احداث)]:[تعمیرات نوع 3 
(درب و پنجره)]])</f>
        <v>0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spans="1:26" x14ac:dyDescent="0.2">
      <c r="A102" s="8"/>
      <c r="B102" s="6"/>
      <c r="C102" s="6"/>
      <c r="D102" s="6"/>
      <c r="E102" s="6"/>
      <c r="F102" s="6"/>
      <c r="G102" s="6"/>
      <c r="H102" s="6"/>
      <c r="I102" s="6"/>
      <c r="J102" s="6">
        <f>SUM(Table57[[#This Row],[تعمیرات نوع 1
(احداث)]:[تعمیرات نوع 3 
(درب و پنجره)]])</f>
        <v>0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spans="1:26" x14ac:dyDescent="0.2">
      <c r="A103" s="8"/>
      <c r="B103" s="6"/>
      <c r="C103" s="6"/>
      <c r="D103" s="6"/>
      <c r="E103" s="6"/>
      <c r="F103" s="6"/>
      <c r="G103" s="6"/>
      <c r="H103" s="6"/>
      <c r="I103" s="6"/>
      <c r="J103" s="6">
        <f>SUM(Table57[[#This Row],[تعمیرات نوع 1
(احداث)]:[تعمیرات نوع 3 
(درب و پنجره)]])</f>
        <v>0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spans="1:26" x14ac:dyDescent="0.2">
      <c r="A104" s="9"/>
      <c r="B104" s="10"/>
      <c r="C104" s="10"/>
      <c r="D104" s="10"/>
      <c r="E104" s="10"/>
      <c r="F104" s="10"/>
      <c r="G104" s="10"/>
      <c r="H104" s="10"/>
      <c r="I104" s="10"/>
      <c r="J104" s="10">
        <f>SUM(Table57[[#This Row],[تعمیرات نوع 1
(احداث)]:[تعمیرات نوع 3 
(درب و پنجره)]])</f>
        <v>0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89FB-1A50-4EC9-9012-71715F51F676}">
  <dimension ref="A1:Q104"/>
  <sheetViews>
    <sheetView rightToLeft="1" zoomScaleNormal="100" workbookViewId="0">
      <pane ySplit="1" topLeftCell="A2" activePane="bottomLeft" state="frozen"/>
      <selection pane="bottomLeft" activeCell="K4" sqref="K4"/>
    </sheetView>
  </sheetViews>
  <sheetFormatPr defaultColWidth="8.625" defaultRowHeight="18.75" x14ac:dyDescent="0.2"/>
  <cols>
    <col min="1" max="1" width="13.875" style="1" customWidth="1"/>
    <col min="2" max="2" width="19.875" style="1" customWidth="1"/>
    <col min="3" max="3" width="17.5" style="1" customWidth="1"/>
    <col min="4" max="4" width="18.25" style="1" customWidth="1"/>
    <col min="5" max="5" width="14.625" style="1" customWidth="1"/>
    <col min="6" max="13" width="10.375" style="1" customWidth="1"/>
    <col min="14" max="17" width="11.125" style="1" customWidth="1"/>
    <col min="18" max="16384" width="8.625" style="1"/>
  </cols>
  <sheetData>
    <row r="1" spans="1:17" s="5" customFormat="1" ht="71.099999999999994" customHeight="1" thickBot="1" x14ac:dyDescent="0.25">
      <c r="A1" s="2" t="s">
        <v>9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4" t="s">
        <v>23</v>
      </c>
    </row>
    <row r="2" spans="1:17" s="17" customFormat="1" ht="71.099999999999994" customHeight="1" thickBot="1" x14ac:dyDescent="0.25">
      <c r="A2" s="20" t="s">
        <v>51</v>
      </c>
      <c r="B2" s="24">
        <v>1140</v>
      </c>
      <c r="C2" s="24">
        <v>227</v>
      </c>
      <c r="D2" s="24">
        <v>1125</v>
      </c>
      <c r="E2" s="24">
        <v>173</v>
      </c>
      <c r="F2" s="21"/>
      <c r="G2" s="21"/>
      <c r="H2" s="21"/>
      <c r="I2" s="21"/>
      <c r="J2" s="21"/>
      <c r="K2" s="21"/>
      <c r="L2" s="21"/>
      <c r="M2" s="21" t="s">
        <v>52</v>
      </c>
      <c r="N2" s="21"/>
      <c r="O2" s="21" t="s">
        <v>54</v>
      </c>
      <c r="P2" s="21"/>
      <c r="Q2" s="21" t="s">
        <v>53</v>
      </c>
    </row>
    <row r="3" spans="1:17" s="5" customFormat="1" ht="71.099999999999994" customHeight="1" x14ac:dyDescent="0.2">
      <c r="A3" s="12" t="s">
        <v>50</v>
      </c>
      <c r="B3" s="13">
        <v>1.069</v>
      </c>
      <c r="C3" s="13">
        <v>206</v>
      </c>
      <c r="D3" s="13">
        <v>1.0640000000000001</v>
      </c>
      <c r="E3" s="13">
        <v>170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</row>
    <row r="4" spans="1:17" s="5" customFormat="1" ht="28.5" customHeight="1" x14ac:dyDescent="0.2">
      <c r="A4" s="20" t="s">
        <v>49</v>
      </c>
      <c r="B4" s="22">
        <v>873</v>
      </c>
      <c r="C4" s="22">
        <v>199</v>
      </c>
      <c r="D4" s="22">
        <v>735</v>
      </c>
      <c r="E4" s="22">
        <v>145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3"/>
    </row>
    <row r="5" spans="1:17" s="15" customFormat="1" ht="29.1" customHeight="1" x14ac:dyDescent="0.2">
      <c r="A5" s="12" t="s">
        <v>48</v>
      </c>
      <c r="B5" s="13">
        <v>882</v>
      </c>
      <c r="C5" s="13">
        <v>93</v>
      </c>
      <c r="D5" s="13">
        <v>445</v>
      </c>
      <c r="E5" s="13">
        <v>35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</row>
    <row r="6" spans="1:17" ht="25.5" x14ac:dyDescent="0.2">
      <c r="A6" s="12" t="s">
        <v>10</v>
      </c>
      <c r="B6" s="13">
        <v>803</v>
      </c>
      <c r="C6" s="13">
        <v>45</v>
      </c>
      <c r="D6" s="13">
        <v>403</v>
      </c>
      <c r="E6" s="13">
        <v>8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</row>
    <row r="7" spans="1:17" x14ac:dyDescent="0.2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1:17" x14ac:dyDescent="0.2">
      <c r="A8" s="8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spans="1:17" x14ac:dyDescent="0.2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1:17" x14ac:dyDescent="0.2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x14ac:dyDescent="0.2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</row>
    <row r="12" spans="1:17" x14ac:dyDescent="0.2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spans="1:17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x14ac:dyDescent="0.2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spans="1:17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</row>
    <row r="16" spans="1:17" x14ac:dyDescent="0.2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</row>
    <row r="17" spans="1:17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</row>
    <row r="18" spans="1:17" x14ac:dyDescent="0.2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</row>
    <row r="19" spans="1:17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spans="1:17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</row>
    <row r="21" spans="1:17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</row>
    <row r="22" spans="1:17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/>
    </row>
    <row r="23" spans="1:17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</row>
    <row r="24" spans="1:17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/>
    </row>
    <row r="25" spans="1:17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</row>
    <row r="26" spans="1:17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7"/>
    </row>
    <row r="27" spans="1:17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</row>
    <row r="28" spans="1:17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</row>
    <row r="29" spans="1:17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</row>
    <row r="30" spans="1:17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</row>
    <row r="31" spans="1:17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</row>
    <row r="32" spans="1:17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/>
    </row>
    <row r="33" spans="1:17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7"/>
    </row>
    <row r="34" spans="1:17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</row>
    <row r="35" spans="1:17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7"/>
    </row>
    <row r="36" spans="1:17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7"/>
    </row>
    <row r="37" spans="1:17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7"/>
    </row>
    <row r="38" spans="1:17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</row>
    <row r="39" spans="1:17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</row>
    <row r="40" spans="1:17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</row>
    <row r="41" spans="1:17" x14ac:dyDescent="0.2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</row>
    <row r="42" spans="1:17" x14ac:dyDescent="0.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</row>
    <row r="43" spans="1:17" x14ac:dyDescent="0.2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</row>
    <row r="44" spans="1:17" x14ac:dyDescent="0.2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7"/>
    </row>
    <row r="45" spans="1:17" x14ac:dyDescent="0.2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7"/>
    </row>
    <row r="46" spans="1:17" x14ac:dyDescent="0.2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7"/>
    </row>
    <row r="47" spans="1:17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</row>
    <row r="48" spans="1:17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</row>
    <row r="49" spans="1:17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</row>
    <row r="50" spans="1:17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</row>
    <row r="51" spans="1:17" x14ac:dyDescent="0.2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</row>
    <row r="52" spans="1:17" x14ac:dyDescent="0.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</row>
    <row r="53" spans="1:17" x14ac:dyDescent="0.2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</row>
    <row r="54" spans="1:17" x14ac:dyDescent="0.2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7"/>
    </row>
    <row r="55" spans="1:17" x14ac:dyDescent="0.2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</row>
    <row r="56" spans="1:17" x14ac:dyDescent="0.2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</row>
    <row r="57" spans="1:17" x14ac:dyDescent="0.2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7"/>
    </row>
    <row r="58" spans="1:17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</row>
    <row r="59" spans="1:17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</row>
    <row r="60" spans="1:17" x14ac:dyDescent="0.2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7"/>
    </row>
    <row r="61" spans="1:17" x14ac:dyDescent="0.2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</row>
    <row r="62" spans="1:17" x14ac:dyDescent="0.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</row>
    <row r="63" spans="1:17" x14ac:dyDescent="0.2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7"/>
    </row>
    <row r="64" spans="1:17" x14ac:dyDescent="0.2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7"/>
    </row>
    <row r="65" spans="1:17" x14ac:dyDescent="0.2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7"/>
    </row>
    <row r="66" spans="1:17" x14ac:dyDescent="0.2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7"/>
    </row>
    <row r="67" spans="1:17" x14ac:dyDescent="0.2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</row>
    <row r="68" spans="1:17" x14ac:dyDescent="0.2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</row>
    <row r="69" spans="1:17" x14ac:dyDescent="0.2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7"/>
    </row>
    <row r="70" spans="1:17" x14ac:dyDescent="0.2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7"/>
    </row>
    <row r="71" spans="1:17" x14ac:dyDescent="0.2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</row>
    <row r="72" spans="1:17" x14ac:dyDescent="0.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</row>
    <row r="73" spans="1:17" x14ac:dyDescent="0.2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</row>
    <row r="74" spans="1:17" x14ac:dyDescent="0.2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</row>
    <row r="75" spans="1:17" x14ac:dyDescent="0.2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</row>
    <row r="76" spans="1:17" x14ac:dyDescent="0.2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7"/>
    </row>
    <row r="77" spans="1:17" x14ac:dyDescent="0.2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</row>
    <row r="78" spans="1:17" x14ac:dyDescent="0.2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</row>
    <row r="79" spans="1:17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7"/>
    </row>
    <row r="80" spans="1:17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</row>
    <row r="81" spans="1:17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</row>
    <row r="82" spans="1:17" x14ac:dyDescent="0.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</row>
    <row r="83" spans="1:17" x14ac:dyDescent="0.2">
      <c r="A83" s="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</row>
    <row r="84" spans="1:17" x14ac:dyDescent="0.2">
      <c r="A84" s="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</row>
    <row r="85" spans="1:17" x14ac:dyDescent="0.2">
      <c r="A85" s="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</row>
    <row r="86" spans="1:17" x14ac:dyDescent="0.2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</row>
    <row r="87" spans="1:17" x14ac:dyDescent="0.2">
      <c r="A87" s="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</row>
    <row r="88" spans="1:17" x14ac:dyDescent="0.2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7"/>
    </row>
    <row r="89" spans="1:17" x14ac:dyDescent="0.2">
      <c r="A89" s="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</row>
    <row r="90" spans="1:17" x14ac:dyDescent="0.2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</row>
    <row r="91" spans="1:17" x14ac:dyDescent="0.2">
      <c r="A91" s="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7"/>
    </row>
    <row r="92" spans="1:17" x14ac:dyDescent="0.2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</row>
    <row r="93" spans="1:17" x14ac:dyDescent="0.2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</row>
    <row r="94" spans="1:17" x14ac:dyDescent="0.2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7"/>
    </row>
    <row r="95" spans="1:17" x14ac:dyDescent="0.2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7"/>
    </row>
    <row r="96" spans="1:17" x14ac:dyDescent="0.2">
      <c r="A96" s="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7"/>
    </row>
    <row r="97" spans="1:17" x14ac:dyDescent="0.2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7"/>
    </row>
    <row r="98" spans="1:17" x14ac:dyDescent="0.2">
      <c r="A98" s="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</row>
    <row r="99" spans="1:17" x14ac:dyDescent="0.2">
      <c r="A99" s="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</row>
    <row r="100" spans="1:17" x14ac:dyDescent="0.2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7"/>
    </row>
    <row r="101" spans="1:17" x14ac:dyDescent="0.2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7"/>
    </row>
    <row r="102" spans="1:17" x14ac:dyDescent="0.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</row>
    <row r="103" spans="1:17" x14ac:dyDescent="0.2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7"/>
    </row>
    <row r="104" spans="1:17" x14ac:dyDescent="0.2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1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ارزیابی</vt:lpstr>
      <vt:lpstr>عملکرد</vt:lpstr>
      <vt:lpstr>پروانه ساختمانی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Asus</cp:lastModifiedBy>
  <dcterms:created xsi:type="dcterms:W3CDTF">2026-05-12T19:05:27Z</dcterms:created>
  <dcterms:modified xsi:type="dcterms:W3CDTF">2026-06-17T06:55:23Z</dcterms:modified>
</cp:coreProperties>
</file>